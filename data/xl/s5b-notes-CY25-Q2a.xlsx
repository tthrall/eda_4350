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469" documentId="8_{BE919223-632E-4CA3-A135-7A7680007E62}" xr6:coauthVersionLast="47" xr6:coauthVersionMax="47" xr10:uidLastSave="{7BBA02B8-0C59-45F8-ADFE-A22F04204459}"/>
  <bookViews>
    <workbookView xWindow="4182" yWindow="1530" windowWidth="18858" windowHeight="11136" xr2:uid="{00000000-000D-0000-FFFF-FFFF00000000}"/>
  </bookViews>
  <sheets>
    <sheet name="index" sheetId="2" r:id="rId1"/>
    <sheet name="eq_labels_1" sheetId="11" r:id="rId2"/>
    <sheet name="foot_1" sheetId="12" r:id="rId3"/>
    <sheet name="templates" sheetId="1" r:id="rId4"/>
  </sheets>
  <externalReferences>
    <externalReference r:id="rId5"/>
    <externalReference r:id="rId6"/>
  </externalReferences>
  <definedNames>
    <definedName name="_xlnm._FilterDatabase" localSheetId="3" hidden="1">templates!$B$5:$O$5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1">eq_labels_1!$1:$1</definedName>
    <definedName name="_xlnm.Print_Titles" localSheetId="2">foot_1!$1:$1</definedName>
    <definedName name="_xlnm.Print_Titles" localSheetId="0">index!$1:$1</definedName>
    <definedName name="_xlnm.Print_Titles" localSheetId="3">templates!$1:$1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1" l="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C38" i="11"/>
  <c r="D38" i="11"/>
  <c r="C39" i="11"/>
  <c r="D39" i="11"/>
  <c r="C40" i="11"/>
  <c r="D40" i="11"/>
  <c r="C41" i="11"/>
  <c r="D41" i="11"/>
  <c r="C42" i="11"/>
  <c r="D42" i="11"/>
  <c r="C43" i="11"/>
  <c r="D43" i="11"/>
  <c r="C44" i="11"/>
  <c r="D44" i="11"/>
  <c r="C45" i="11"/>
  <c r="D45" i="11"/>
  <c r="C46" i="11"/>
  <c r="D46" i="11"/>
  <c r="C47" i="11"/>
  <c r="D47" i="11"/>
  <c r="C48" i="11"/>
  <c r="D48" i="11"/>
  <c r="C49" i="11"/>
  <c r="D49" i="11"/>
  <c r="C50" i="11"/>
  <c r="D50" i="11"/>
  <c r="C51" i="11"/>
  <c r="D51" i="11"/>
  <c r="D6" i="11"/>
  <c r="C6" i="11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<sst xmlns="http://schemas.openxmlformats.org/spreadsheetml/2006/main" count="226" uniqueCount="175">
  <si>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</si>
  <si>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</si>
  <si>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</si>
  <si>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</si>
  <si>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</si>
  <si>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</si>
  <si>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</si>
  <si>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</si>
  <si>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</si>
  <si>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</si>
  <si>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</si>
  <si>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</si>
  <si>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</si>
  <si>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</si>
  <si>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</si>
  <si>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</si>
  <si>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</si>
  <si>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</si>
  <si>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</si>
  <si>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</si>
  <si>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</si>
  <si>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</si>
  <si>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</si>
  <si>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</si>
  <si>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</si>
  <si>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</si>
  <si>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</si>
  <si>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</si>
  <si>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</si>
  <si>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</si>
  <si>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</si>
  <si>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</si>
  <si>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</si>
  <si>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</si>
  <si>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</si>
  <si>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</si>
  <si>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</si>
  <si>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</si>
  <si>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</si>
  <si>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</si>
  <si>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</si>
  <si>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</si>
  <si>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</si>
  <si>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</si>
  <si>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</si>
  <si>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templates</t>
  </si>
  <si>
    <t>formats for numbers and strings</t>
  </si>
  <si>
    <t>src_PoC_org</t>
  </si>
  <si>
    <t>US</t>
  </si>
  <si>
    <t>{#eq-X-bullet}</t>
  </si>
  <si>
    <t>{#eq-m-bullet}</t>
  </si>
  <si>
    <t>{#eq-shift-operator}</t>
  </si>
  <si>
    <t>{#eq-stationarity-2}</t>
  </si>
  <si>
    <t>{#eq-auto-cov}</t>
  </si>
  <si>
    <t>{#eq-auto-cov-symmetry}</t>
  </si>
  <si>
    <t>{#eq-auto-cor}</t>
  </si>
  <si>
    <t>{#eq-X-Y-given-Z}</t>
  </si>
  <si>
    <t>{#eq-cor-X-Y-given-Z}</t>
  </si>
  <si>
    <t>{#eq-N-given-past}</t>
  </si>
  <si>
    <t>{#eq-N-given-future}</t>
  </si>
  <si>
    <t>{#eq-pacf-defn}</t>
  </si>
  <si>
    <t>{#eq-DL-algo}</t>
  </si>
  <si>
    <t>{#eq-ma-5}</t>
  </si>
  <si>
    <t>{#eq-filter}</t>
  </si>
  <si>
    <t>{#eq-ma-5-filter}</t>
  </si>
  <si>
    <t>{#eq-diff-operator}</t>
  </si>
  <si>
    <t>{#eq-diff-filter}</t>
  </si>
  <si>
    <t>{#eq-AR-sum}</t>
  </si>
  <si>
    <t>{#eq-AR-bs-poly}</t>
  </si>
  <si>
    <t>{#eq-AR1-resid}</t>
  </si>
  <si>
    <t>{#eq-AR1-bs-inv}</t>
  </si>
  <si>
    <t>{#eq-AR1-rho}</t>
  </si>
  <si>
    <t>{#eq-AR1-PACF}</t>
  </si>
  <si>
    <t>{#eq-ARp-poly-z}</t>
  </si>
  <si>
    <t>{#eq-causal-series}</t>
  </si>
  <si>
    <t>{#eq-MA1}</t>
  </si>
  <si>
    <t>{#eq-MA1-ACovF}</t>
  </si>
  <si>
    <t>{#eq-MA1-ACF}</t>
  </si>
  <si>
    <t>{#eq-MA1-PACF}</t>
  </si>
  <si>
    <t>{#eq-MAq-poly}</t>
  </si>
  <si>
    <t>{#eq-MA-q}</t>
  </si>
  <si>
    <t>{#eq-ACF-MA-q}</t>
  </si>
  <si>
    <t>{#eq-MAq-poly-inv}</t>
  </si>
  <si>
    <t>{#eq-MAq-inv}</t>
  </si>
  <si>
    <t>{#eq-AR-infty}</t>
  </si>
  <si>
    <t>{#eq-ma-1-model}</t>
  </si>
  <si>
    <t>{#eq-ev-sum-uncorrelated}</t>
  </si>
  <si>
    <t>{#eq-ev-avg-uncorrelated}</t>
  </si>
  <si>
    <t>{#eq-ev-ma-1-model}</t>
  </si>
  <si>
    <t>{#eq-auto-cov-ma-1-model}</t>
  </si>
  <si>
    <t>{#eq-auto-cor-ma-1-model}</t>
  </si>
  <si>
    <t>{#eq-var-sum-ma-1-model}</t>
  </si>
  <si>
    <t>{#eq-ess-criterion}</t>
  </si>
  <si>
    <t>{#eq-ess-definition}</t>
  </si>
  <si>
    <t>{#eq-ess-limit-ma-1-model}</t>
  </si>
  <si>
    <t>len</t>
  </si>
  <si>
    <t>tag_eq</t>
  </si>
  <si>
    <t>label_eq</t>
  </si>
  <si>
    <t>new_tag_eq</t>
  </si>
  <si>
    <t>back-shift-s</t>
  </si>
  <si>
    <t>ACovF</t>
  </si>
  <si>
    <t>ACovF-symm</t>
  </si>
  <si>
    <t>ACF</t>
  </si>
  <si>
    <t>eXY-Z</t>
  </si>
  <si>
    <t>corXY-Z</t>
  </si>
  <si>
    <t>PACF</t>
  </si>
  <si>
    <t>diff-op</t>
  </si>
  <si>
    <t>ARp-alpha</t>
  </si>
  <si>
    <t>ARp-bs-poly</t>
  </si>
  <si>
    <t>AR1-bs-inv</t>
  </si>
  <si>
    <t>ARp-poly</t>
  </si>
  <si>
    <t>MA1</t>
  </si>
  <si>
    <t>causal-form</t>
  </si>
  <si>
    <t>MAq</t>
  </si>
  <si>
    <t>MAq-ACF</t>
  </si>
  <si>
    <t>rev_tag_eq</t>
  </si>
  <si>
    <t>rev_tag_eq_form</t>
  </si>
  <si>
    <t>X-bullet</t>
  </si>
  <si>
    <t>m-bullet</t>
  </si>
  <si>
    <t>stationarity-2</t>
  </si>
  <si>
    <t>N-given-past</t>
  </si>
  <si>
    <t>N-given-future</t>
  </si>
  <si>
    <t>DL-algo</t>
  </si>
  <si>
    <t>ma-5</t>
  </si>
  <si>
    <t>filter</t>
  </si>
  <si>
    <t>ma-5-filter</t>
  </si>
  <si>
    <t>diff-filter</t>
  </si>
  <si>
    <t>AR1-resid</t>
  </si>
  <si>
    <t>AR1-rho</t>
  </si>
  <si>
    <t>AR1-PACF</t>
  </si>
  <si>
    <t>MA1-ACovF</t>
  </si>
  <si>
    <t>MA1-ACF</t>
  </si>
  <si>
    <t>MA1-PACF</t>
  </si>
  <si>
    <t>MAq-poly</t>
  </si>
  <si>
    <t>MAq-poly-inv</t>
  </si>
  <si>
    <t>MAq-inv</t>
  </si>
  <si>
    <t>AR-infty</t>
  </si>
  <si>
    <t>ma-1-model</t>
  </si>
  <si>
    <t>ev-sum-uncorrelated</t>
  </si>
  <si>
    <t>ev-avg-uncorrelated</t>
  </si>
  <si>
    <t>ev-ma-1-model</t>
  </si>
  <si>
    <t>auto-cov-ma-1-model</t>
  </si>
  <si>
    <t>auto-cor-ma-1-model</t>
  </si>
  <si>
    <t>var-sum-ma-1-model</t>
  </si>
  <si>
    <t>ess-criterion</t>
  </si>
  <si>
    <t>ess-definition</t>
  </si>
  <si>
    <t>ess-limit-ma-1-model</t>
  </si>
  <si>
    <t>revise labels of equations</t>
  </si>
  <si>
    <t>eq_labels_1</t>
  </si>
  <si>
    <t>foot_1</t>
  </si>
  <si>
    <t>footnote labels</t>
  </si>
  <si>
    <t>pg_txt</t>
  </si>
  <si>
    <t>tag_foot</t>
  </si>
  <si>
    <t>ts_real_valued</t>
  </si>
  <si>
    <t>uni_subscripts</t>
  </si>
  <si>
    <t>stationary</t>
  </si>
  <si>
    <t>Gaussian</t>
  </si>
  <si>
    <t>rho_even</t>
  </si>
  <si>
    <t>cmort_trend_models</t>
  </si>
  <si>
    <t>causal</t>
  </si>
  <si>
    <t>invertible</t>
  </si>
  <si>
    <t>poly_roots</t>
  </si>
  <si>
    <t>MA1_transform</t>
  </si>
  <si>
    <t>djia_returns</t>
  </si>
  <si>
    <t>ma_simple</t>
  </si>
  <si>
    <t>txt_cmort_model</t>
  </si>
  <si>
    <t>txt_PACF_intro</t>
  </si>
  <si>
    <t>txt_DL_algo</t>
  </si>
  <si>
    <t>txt_AR1_ACF</t>
  </si>
  <si>
    <t>txt_AR1_PACF</t>
  </si>
  <si>
    <t>txt_causal_form</t>
  </si>
  <si>
    <t>txt_MA1_equivalence</t>
  </si>
  <si>
    <t>txt_MA1_ACF</t>
  </si>
  <si>
    <t>idx_render</t>
  </si>
  <si>
    <t>idx_src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</si>
</sst>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8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4" fillId="0" borderId="0" xfId="1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47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148</v>
      </c>
      <c r="C6" s="1" t="s">
        <v>147</v>
      </c>
      <c r="D6" s="30">
        <v>45826</v>
      </c>
      <c r="H6" s="1" t="s">
        <v>43</v>
      </c>
      <c r="I6" s="1" t="s">
        <v>44</v>
      </c>
      <c r="J6" s="1" t="s">
        <v>48</v>
      </c>
    </row>
    <row r="7" spans="1:10" x14ac:dyDescent="0.55000000000000004">
      <c r="B7" s="1" t="s">
        <v>149</v>
      </c>
      <c r="C7" s="1" t="s">
        <v>150</v>
      </c>
      <c r="D7" s="30">
        <v>45827</v>
      </c>
      <c r="H7" s="1" t="s">
        <v>43</v>
      </c>
      <c r="I7" s="1" t="s">
        <v>44</v>
      </c>
      <c r="J7" s="1" t="s">
        <v>48</v>
      </c>
    </row>
    <row r="8" spans="1:10" x14ac:dyDescent="0.55000000000000004">
      <c r="B8" s="1" t="s">
        <v>45</v>
      </c>
      <c r="C8" s="1" t="s">
        <v>46</v>
      </c>
      <c r="D8" s="30">
        <v>45698</v>
      </c>
      <c r="H8" s="1" t="s">
        <v>43</v>
      </c>
      <c r="I8" s="1" t="s">
        <v>44</v>
      </c>
      <c r="J8" s="1" t="s">
        <v>48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95E0-1418-4542-81EF-B34FFD25EED3}">
  <dimension ref="A1:G51"/>
  <sheetViews>
    <sheetView zoomScale="120" zoomScaleNormal="120" workbookViewId="0">
      <pane xSplit="1" ySplit="5" topLeftCell="B30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24.578125" style="1" customWidth="1"/>
    <col min="3" max="3" width="6.578125" style="15" customWidth="1"/>
    <col min="4" max="7" width="18.578125" style="1" customWidth="1"/>
    <col min="8" max="16384" width="9.15625" style="1"/>
  </cols>
  <sheetData>
    <row r="1" spans="1:7" s="2" customFormat="1" x14ac:dyDescent="0.55000000000000004">
      <c r="A1" s="2" t="s">
        <v>0</v>
      </c>
      <c r="B1" s="2" t="s">
        <v>97</v>
      </c>
      <c r="C1" s="13" t="s">
        <v>95</v>
      </c>
      <c r="D1" s="2" t="s">
        <v>96</v>
      </c>
      <c r="E1" s="2" t="s">
        <v>98</v>
      </c>
      <c r="F1" s="2" t="s">
        <v>116</v>
      </c>
      <c r="G1" s="2" t="s">
        <v>115</v>
      </c>
    </row>
    <row r="2" spans="1:7" s="3" customFormat="1" ht="11.7" hidden="1" x14ac:dyDescent="0.55000000000000004">
      <c r="A2" s="3" t="s">
        <v>30</v>
      </c>
      <c r="C2" s="14"/>
    </row>
    <row r="3" spans="1:7" s="3" customFormat="1" ht="11.7" hidden="1" x14ac:dyDescent="0.55000000000000004">
      <c r="A3" s="3" t="s">
        <v>31</v>
      </c>
      <c r="C3" s="14"/>
    </row>
    <row r="4" spans="1:7" s="3" customFormat="1" ht="11.7" hidden="1" x14ac:dyDescent="0.55000000000000004">
      <c r="A4" s="3" t="s">
        <v>32</v>
      </c>
      <c r="C4" s="14"/>
    </row>
    <row r="5" spans="1:7" s="3" customFormat="1" ht="45" hidden="1" customHeight="1" x14ac:dyDescent="0.55000000000000004">
      <c r="A5" s="3" t="s">
        <v>33</v>
      </c>
      <c r="C5" s="14"/>
    </row>
    <row r="6" spans="1:7" x14ac:dyDescent="0.55000000000000004">
      <c r="B6" s="1" t="s">
        <v>49</v>
      </c>
      <c r="C6" s="15">
        <f xml:space="preserve"> LEN($B6)</f>
        <v>14</v>
      </c>
      <c r="D6" s="1" t="str">
        <f xml:space="preserve"> MID($B6, 6, $C6 - 6)</f>
        <v>X-bullet</v>
      </c>
      <c r="F6" s="1" t="str">
        <f xml:space="preserve"> IF(ISBLANK($E6), $D6, $E6)</f>
        <v>X-bullet</v>
      </c>
      <c r="G6" s="1" t="s">
        <v>117</v>
      </c>
    </row>
    <row r="7" spans="1:7" x14ac:dyDescent="0.55000000000000004">
      <c r="B7" s="1" t="s">
        <v>50</v>
      </c>
      <c r="C7" s="15">
        <f t="shared" ref="C7:C51" si="0" xml:space="preserve"> LEN($B7)</f>
        <v>14</v>
      </c>
      <c r="D7" s="1" t="str">
        <f t="shared" ref="D7:D51" si="1" xml:space="preserve"> MID($B7, 6, $C7 - 6)</f>
        <v>m-bullet</v>
      </c>
      <c r="F7" s="1" t="str">
        <f t="shared" ref="F7:F51" si="2" xml:space="preserve"> IF(ISBLANK($E7), $D7, $E7)</f>
        <v>m-bullet</v>
      </c>
      <c r="G7" s="1" t="s">
        <v>118</v>
      </c>
    </row>
    <row r="8" spans="1:7" x14ac:dyDescent="0.55000000000000004">
      <c r="B8" s="1" t="s">
        <v>51</v>
      </c>
      <c r="C8" s="15">
        <f t="shared" si="0"/>
        <v>20</v>
      </c>
      <c r="D8" s="1" t="str">
        <f t="shared" si="1"/>
        <v>shift-operator</v>
      </c>
      <c r="E8" s="1" t="s">
        <v>99</v>
      </c>
      <c r="F8" s="1" t="str">
        <f t="shared" si="2"/>
        <v>back-shift-s</v>
      </c>
      <c r="G8" s="1" t="s">
        <v>99</v>
      </c>
    </row>
    <row r="9" spans="1:7" s="37" customFormat="1" x14ac:dyDescent="0.55000000000000004">
      <c r="B9" s="37" t="s">
        <v>52</v>
      </c>
      <c r="C9" s="15">
        <f t="shared" si="0"/>
        <v>20</v>
      </c>
      <c r="D9" s="1" t="str">
        <f t="shared" si="1"/>
        <v>stationarity-2</v>
      </c>
      <c r="F9" s="1" t="str">
        <f t="shared" si="2"/>
        <v>stationarity-2</v>
      </c>
      <c r="G9" s="37" t="s">
        <v>119</v>
      </c>
    </row>
    <row r="10" spans="1:7" x14ac:dyDescent="0.55000000000000004">
      <c r="B10" s="1" t="s">
        <v>53</v>
      </c>
      <c r="C10" s="15">
        <f t="shared" si="0"/>
        <v>14</v>
      </c>
      <c r="D10" s="1" t="str">
        <f t="shared" si="1"/>
        <v>auto-cov</v>
      </c>
      <c r="E10" s="1" t="s">
        <v>100</v>
      </c>
      <c r="F10" s="1" t="str">
        <f t="shared" si="2"/>
        <v>ACovF</v>
      </c>
      <c r="G10" s="1" t="s">
        <v>100</v>
      </c>
    </row>
    <row r="11" spans="1:7" x14ac:dyDescent="0.55000000000000004">
      <c r="B11" s="1" t="s">
        <v>54</v>
      </c>
      <c r="C11" s="15">
        <f t="shared" si="0"/>
        <v>23</v>
      </c>
      <c r="D11" s="1" t="str">
        <f t="shared" si="1"/>
        <v>auto-cov-symmetry</v>
      </c>
      <c r="E11" s="1" t="s">
        <v>101</v>
      </c>
      <c r="F11" s="1" t="str">
        <f t="shared" si="2"/>
        <v>ACovF-symm</v>
      </c>
      <c r="G11" s="1" t="s">
        <v>101</v>
      </c>
    </row>
    <row r="12" spans="1:7" x14ac:dyDescent="0.55000000000000004">
      <c r="B12" s="1" t="s">
        <v>55</v>
      </c>
      <c r="C12" s="15">
        <f t="shared" si="0"/>
        <v>14</v>
      </c>
      <c r="D12" s="1" t="str">
        <f t="shared" si="1"/>
        <v>auto-cor</v>
      </c>
      <c r="E12" s="1" t="s">
        <v>102</v>
      </c>
      <c r="F12" s="1" t="str">
        <f t="shared" si="2"/>
        <v>ACF</v>
      </c>
      <c r="G12" s="1" t="s">
        <v>102</v>
      </c>
    </row>
    <row r="13" spans="1:7" x14ac:dyDescent="0.55000000000000004">
      <c r="B13" s="1" t="s">
        <v>56</v>
      </c>
      <c r="C13" s="15">
        <f t="shared" si="0"/>
        <v>17</v>
      </c>
      <c r="D13" s="1" t="str">
        <f t="shared" si="1"/>
        <v>X-Y-given-Z</v>
      </c>
      <c r="E13" s="1" t="s">
        <v>103</v>
      </c>
      <c r="F13" s="1" t="str">
        <f t="shared" si="2"/>
        <v>eXY-Z</v>
      </c>
      <c r="G13" s="1" t="s">
        <v>103</v>
      </c>
    </row>
    <row r="14" spans="1:7" x14ac:dyDescent="0.55000000000000004">
      <c r="B14" s="1" t="s">
        <v>57</v>
      </c>
      <c r="C14" s="15">
        <f t="shared" si="0"/>
        <v>21</v>
      </c>
      <c r="D14" s="1" t="str">
        <f t="shared" si="1"/>
        <v>cor-X-Y-given-Z</v>
      </c>
      <c r="E14" s="1" t="s">
        <v>104</v>
      </c>
      <c r="F14" s="1" t="str">
        <f t="shared" si="2"/>
        <v>corXY-Z</v>
      </c>
      <c r="G14" s="1" t="s">
        <v>104</v>
      </c>
    </row>
    <row r="15" spans="1:7" x14ac:dyDescent="0.55000000000000004">
      <c r="B15" s="1" t="s">
        <v>58</v>
      </c>
      <c r="C15" s="15">
        <f t="shared" si="0"/>
        <v>18</v>
      </c>
      <c r="D15" s="1" t="str">
        <f t="shared" si="1"/>
        <v>N-given-past</v>
      </c>
      <c r="F15" s="1" t="str">
        <f t="shared" si="2"/>
        <v>N-given-past</v>
      </c>
      <c r="G15" s="1" t="s">
        <v>120</v>
      </c>
    </row>
    <row r="16" spans="1:7" x14ac:dyDescent="0.55000000000000004">
      <c r="B16" s="1" t="s">
        <v>59</v>
      </c>
      <c r="C16" s="15">
        <f t="shared" si="0"/>
        <v>20</v>
      </c>
      <c r="D16" s="1" t="str">
        <f t="shared" si="1"/>
        <v>N-given-future</v>
      </c>
      <c r="F16" s="1" t="str">
        <f t="shared" si="2"/>
        <v>N-given-future</v>
      </c>
      <c r="G16" s="1" t="s">
        <v>121</v>
      </c>
    </row>
    <row r="17" spans="2:7" x14ac:dyDescent="0.55000000000000004">
      <c r="B17" s="1" t="s">
        <v>60</v>
      </c>
      <c r="C17" s="15">
        <f t="shared" si="0"/>
        <v>15</v>
      </c>
      <c r="D17" s="1" t="str">
        <f t="shared" si="1"/>
        <v>pacf-defn</v>
      </c>
      <c r="E17" s="1" t="s">
        <v>105</v>
      </c>
      <c r="F17" s="1" t="str">
        <f t="shared" si="2"/>
        <v>PACF</v>
      </c>
      <c r="G17" s="1" t="s">
        <v>105</v>
      </c>
    </row>
    <row r="18" spans="2:7" x14ac:dyDescent="0.55000000000000004">
      <c r="B18" s="1" t="s">
        <v>61</v>
      </c>
      <c r="C18" s="15">
        <f t="shared" si="0"/>
        <v>13</v>
      </c>
      <c r="D18" s="1" t="str">
        <f t="shared" si="1"/>
        <v>DL-algo</v>
      </c>
      <c r="F18" s="1" t="str">
        <f t="shared" si="2"/>
        <v>DL-algo</v>
      </c>
      <c r="G18" s="1" t="s">
        <v>122</v>
      </c>
    </row>
    <row r="19" spans="2:7" x14ac:dyDescent="0.55000000000000004">
      <c r="B19" s="1" t="s">
        <v>62</v>
      </c>
      <c r="C19" s="15">
        <f t="shared" si="0"/>
        <v>10</v>
      </c>
      <c r="D19" s="1" t="str">
        <f t="shared" si="1"/>
        <v>ma-5</v>
      </c>
      <c r="F19" s="1" t="str">
        <f t="shared" si="2"/>
        <v>ma-5</v>
      </c>
      <c r="G19" s="1" t="s">
        <v>123</v>
      </c>
    </row>
    <row r="20" spans="2:7" x14ac:dyDescent="0.55000000000000004">
      <c r="B20" s="1" t="s">
        <v>63</v>
      </c>
      <c r="C20" s="15">
        <f t="shared" si="0"/>
        <v>12</v>
      </c>
      <c r="D20" s="1" t="str">
        <f t="shared" si="1"/>
        <v>filter</v>
      </c>
      <c r="F20" s="1" t="str">
        <f t="shared" si="2"/>
        <v>filter</v>
      </c>
      <c r="G20" s="1" t="s">
        <v>124</v>
      </c>
    </row>
    <row r="21" spans="2:7" x14ac:dyDescent="0.55000000000000004">
      <c r="B21" s="1" t="s">
        <v>64</v>
      </c>
      <c r="C21" s="15">
        <f t="shared" si="0"/>
        <v>17</v>
      </c>
      <c r="D21" s="1" t="str">
        <f t="shared" si="1"/>
        <v>ma-5-filter</v>
      </c>
      <c r="F21" s="1" t="str">
        <f t="shared" si="2"/>
        <v>ma-5-filter</v>
      </c>
      <c r="G21" s="1" t="s">
        <v>125</v>
      </c>
    </row>
    <row r="22" spans="2:7" x14ac:dyDescent="0.55000000000000004">
      <c r="B22" s="1" t="s">
        <v>65</v>
      </c>
      <c r="C22" s="15">
        <f t="shared" si="0"/>
        <v>19</v>
      </c>
      <c r="D22" s="1" t="str">
        <f t="shared" si="1"/>
        <v>diff-operator</v>
      </c>
      <c r="E22" s="1" t="s">
        <v>106</v>
      </c>
      <c r="F22" s="1" t="str">
        <f t="shared" si="2"/>
        <v>diff-op</v>
      </c>
      <c r="G22" s="1" t="s">
        <v>106</v>
      </c>
    </row>
    <row r="23" spans="2:7" x14ac:dyDescent="0.55000000000000004">
      <c r="B23" s="1" t="s">
        <v>66</v>
      </c>
      <c r="C23" s="15">
        <f t="shared" si="0"/>
        <v>17</v>
      </c>
      <c r="D23" s="1" t="str">
        <f t="shared" si="1"/>
        <v>diff-filter</v>
      </c>
      <c r="F23" s="1" t="str">
        <f t="shared" si="2"/>
        <v>diff-filter</v>
      </c>
      <c r="G23" s="1" t="s">
        <v>126</v>
      </c>
    </row>
    <row r="24" spans="2:7" x14ac:dyDescent="0.55000000000000004">
      <c r="B24" s="1" t="s">
        <v>67</v>
      </c>
      <c r="C24" s="15">
        <f t="shared" si="0"/>
        <v>12</v>
      </c>
      <c r="D24" s="1" t="str">
        <f t="shared" si="1"/>
        <v>AR-sum</v>
      </c>
      <c r="E24" s="1" t="s">
        <v>107</v>
      </c>
      <c r="F24" s="1" t="str">
        <f t="shared" si="2"/>
        <v>ARp-alpha</v>
      </c>
      <c r="G24" s="1" t="s">
        <v>107</v>
      </c>
    </row>
    <row r="25" spans="2:7" x14ac:dyDescent="0.55000000000000004">
      <c r="B25" s="1" t="s">
        <v>68</v>
      </c>
      <c r="C25" s="15">
        <f t="shared" si="0"/>
        <v>16</v>
      </c>
      <c r="D25" s="1" t="str">
        <f t="shared" si="1"/>
        <v>AR-bs-poly</v>
      </c>
      <c r="E25" s="1" t="s">
        <v>108</v>
      </c>
      <c r="F25" s="1" t="str">
        <f t="shared" si="2"/>
        <v>ARp-bs-poly</v>
      </c>
      <c r="G25" s="1" t="s">
        <v>108</v>
      </c>
    </row>
    <row r="26" spans="2:7" x14ac:dyDescent="0.55000000000000004">
      <c r="B26" s="1" t="s">
        <v>69</v>
      </c>
      <c r="C26" s="15">
        <f t="shared" si="0"/>
        <v>15</v>
      </c>
      <c r="D26" s="1" t="str">
        <f t="shared" si="1"/>
        <v>AR1-resid</v>
      </c>
      <c r="F26" s="1" t="str">
        <f t="shared" si="2"/>
        <v>AR1-resid</v>
      </c>
      <c r="G26" s="1" t="s">
        <v>127</v>
      </c>
    </row>
    <row r="27" spans="2:7" x14ac:dyDescent="0.55000000000000004">
      <c r="B27" s="1" t="s">
        <v>70</v>
      </c>
      <c r="C27" s="15">
        <f t="shared" si="0"/>
        <v>16</v>
      </c>
      <c r="D27" s="1" t="str">
        <f t="shared" si="1"/>
        <v>AR1-bs-inv</v>
      </c>
      <c r="F27" s="1" t="str">
        <f t="shared" si="2"/>
        <v>AR1-bs-inv</v>
      </c>
      <c r="G27" s="1" t="s">
        <v>109</v>
      </c>
    </row>
    <row r="28" spans="2:7" x14ac:dyDescent="0.55000000000000004">
      <c r="B28" s="1" t="s">
        <v>71</v>
      </c>
      <c r="C28" s="15">
        <f t="shared" si="0"/>
        <v>13</v>
      </c>
      <c r="D28" s="1" t="str">
        <f t="shared" si="1"/>
        <v>AR1-rho</v>
      </c>
      <c r="F28" s="1" t="str">
        <f t="shared" si="2"/>
        <v>AR1-rho</v>
      </c>
      <c r="G28" s="1" t="s">
        <v>128</v>
      </c>
    </row>
    <row r="29" spans="2:7" x14ac:dyDescent="0.55000000000000004">
      <c r="B29" s="1" t="s">
        <v>72</v>
      </c>
      <c r="C29" s="15">
        <f t="shared" si="0"/>
        <v>14</v>
      </c>
      <c r="D29" s="1" t="str">
        <f t="shared" si="1"/>
        <v>AR1-PACF</v>
      </c>
      <c r="F29" s="1" t="str">
        <f t="shared" si="2"/>
        <v>AR1-PACF</v>
      </c>
      <c r="G29" s="1" t="s">
        <v>129</v>
      </c>
    </row>
    <row r="30" spans="2:7" x14ac:dyDescent="0.55000000000000004">
      <c r="B30" s="1" t="s">
        <v>73</v>
      </c>
      <c r="C30" s="15">
        <f t="shared" si="0"/>
        <v>16</v>
      </c>
      <c r="D30" s="1" t="str">
        <f t="shared" si="1"/>
        <v>ARp-poly-z</v>
      </c>
      <c r="E30" s="1" t="s">
        <v>110</v>
      </c>
      <c r="F30" s="1" t="str">
        <f t="shared" si="2"/>
        <v>ARp-poly</v>
      </c>
      <c r="G30" s="1" t="s">
        <v>110</v>
      </c>
    </row>
    <row r="31" spans="2:7" x14ac:dyDescent="0.55000000000000004">
      <c r="B31" s="1" t="s">
        <v>74</v>
      </c>
      <c r="C31" s="15">
        <f t="shared" si="0"/>
        <v>19</v>
      </c>
      <c r="D31" s="1" t="str">
        <f t="shared" si="1"/>
        <v>causal-series</v>
      </c>
      <c r="E31" s="1" t="s">
        <v>112</v>
      </c>
      <c r="F31" s="1" t="str">
        <f t="shared" si="2"/>
        <v>causal-form</v>
      </c>
      <c r="G31" s="1" t="s">
        <v>112</v>
      </c>
    </row>
    <row r="32" spans="2:7" x14ac:dyDescent="0.55000000000000004">
      <c r="B32" s="1" t="s">
        <v>75</v>
      </c>
      <c r="C32" s="15">
        <f t="shared" si="0"/>
        <v>9</v>
      </c>
      <c r="D32" s="1" t="str">
        <f t="shared" si="1"/>
        <v>MA1</v>
      </c>
      <c r="F32" s="1" t="str">
        <f t="shared" si="2"/>
        <v>MA1</v>
      </c>
      <c r="G32" s="1" t="s">
        <v>111</v>
      </c>
    </row>
    <row r="33" spans="2:7" x14ac:dyDescent="0.55000000000000004">
      <c r="B33" s="1" t="s">
        <v>76</v>
      </c>
      <c r="C33" s="15">
        <f t="shared" si="0"/>
        <v>15</v>
      </c>
      <c r="D33" s="1" t="str">
        <f t="shared" si="1"/>
        <v>MA1-ACovF</v>
      </c>
      <c r="F33" s="1" t="str">
        <f t="shared" si="2"/>
        <v>MA1-ACovF</v>
      </c>
      <c r="G33" s="1" t="s">
        <v>130</v>
      </c>
    </row>
    <row r="34" spans="2:7" x14ac:dyDescent="0.55000000000000004">
      <c r="B34" s="1" t="s">
        <v>77</v>
      </c>
      <c r="C34" s="15">
        <f t="shared" si="0"/>
        <v>13</v>
      </c>
      <c r="D34" s="1" t="str">
        <f t="shared" si="1"/>
        <v>MA1-ACF</v>
      </c>
      <c r="F34" s="1" t="str">
        <f t="shared" si="2"/>
        <v>MA1-ACF</v>
      </c>
      <c r="G34" s="1" t="s">
        <v>131</v>
      </c>
    </row>
    <row r="35" spans="2:7" x14ac:dyDescent="0.55000000000000004">
      <c r="B35" s="1" t="s">
        <v>78</v>
      </c>
      <c r="C35" s="15">
        <f t="shared" si="0"/>
        <v>14</v>
      </c>
      <c r="D35" s="1" t="str">
        <f t="shared" si="1"/>
        <v>MA1-PACF</v>
      </c>
      <c r="F35" s="1" t="str">
        <f t="shared" si="2"/>
        <v>MA1-PACF</v>
      </c>
      <c r="G35" s="1" t="s">
        <v>132</v>
      </c>
    </row>
    <row r="36" spans="2:7" x14ac:dyDescent="0.55000000000000004">
      <c r="B36" s="1" t="s">
        <v>79</v>
      </c>
      <c r="C36" s="15">
        <f t="shared" si="0"/>
        <v>14</v>
      </c>
      <c r="D36" s="1" t="str">
        <f t="shared" si="1"/>
        <v>MAq-poly</v>
      </c>
      <c r="F36" s="1" t="str">
        <f t="shared" si="2"/>
        <v>MAq-poly</v>
      </c>
      <c r="G36" s="1" t="s">
        <v>133</v>
      </c>
    </row>
    <row r="37" spans="2:7" x14ac:dyDescent="0.55000000000000004">
      <c r="B37" s="1" t="s">
        <v>80</v>
      </c>
      <c r="C37" s="15">
        <f t="shared" si="0"/>
        <v>10</v>
      </c>
      <c r="D37" s="1" t="str">
        <f t="shared" si="1"/>
        <v>MA-q</v>
      </c>
      <c r="E37" s="1" t="s">
        <v>113</v>
      </c>
      <c r="F37" s="1" t="str">
        <f t="shared" si="2"/>
        <v>MAq</v>
      </c>
      <c r="G37" s="1" t="s">
        <v>113</v>
      </c>
    </row>
    <row r="38" spans="2:7" x14ac:dyDescent="0.55000000000000004">
      <c r="B38" s="1" t="s">
        <v>81</v>
      </c>
      <c r="C38" s="15">
        <f t="shared" si="0"/>
        <v>14</v>
      </c>
      <c r="D38" s="1" t="str">
        <f t="shared" si="1"/>
        <v>ACF-MA-q</v>
      </c>
      <c r="E38" s="1" t="s">
        <v>114</v>
      </c>
      <c r="F38" s="1" t="str">
        <f t="shared" si="2"/>
        <v>MAq-ACF</v>
      </c>
      <c r="G38" s="1" t="s">
        <v>114</v>
      </c>
    </row>
    <row r="39" spans="2:7" x14ac:dyDescent="0.55000000000000004">
      <c r="B39" s="1" t="s">
        <v>82</v>
      </c>
      <c r="C39" s="15">
        <f t="shared" si="0"/>
        <v>18</v>
      </c>
      <c r="D39" s="1" t="str">
        <f t="shared" si="1"/>
        <v>MAq-poly-inv</v>
      </c>
      <c r="F39" s="1" t="str">
        <f t="shared" si="2"/>
        <v>MAq-poly-inv</v>
      </c>
      <c r="G39" s="1" t="s">
        <v>134</v>
      </c>
    </row>
    <row r="40" spans="2:7" x14ac:dyDescent="0.55000000000000004">
      <c r="B40" s="1" t="s">
        <v>83</v>
      </c>
      <c r="C40" s="15">
        <f t="shared" si="0"/>
        <v>13</v>
      </c>
      <c r="D40" s="1" t="str">
        <f t="shared" si="1"/>
        <v>MAq-inv</v>
      </c>
      <c r="F40" s="1" t="str">
        <f t="shared" si="2"/>
        <v>MAq-inv</v>
      </c>
      <c r="G40" s="1" t="s">
        <v>135</v>
      </c>
    </row>
    <row r="41" spans="2:7" x14ac:dyDescent="0.55000000000000004">
      <c r="B41" s="1" t="s">
        <v>84</v>
      </c>
      <c r="C41" s="15">
        <f t="shared" si="0"/>
        <v>14</v>
      </c>
      <c r="D41" s="1" t="str">
        <f t="shared" si="1"/>
        <v>AR-infty</v>
      </c>
      <c r="F41" s="1" t="str">
        <f t="shared" si="2"/>
        <v>AR-infty</v>
      </c>
      <c r="G41" s="1" t="s">
        <v>136</v>
      </c>
    </row>
    <row r="42" spans="2:7" x14ac:dyDescent="0.55000000000000004">
      <c r="B42" s="1" t="s">
        <v>85</v>
      </c>
      <c r="C42" s="15">
        <f t="shared" si="0"/>
        <v>16</v>
      </c>
      <c r="D42" s="1" t="str">
        <f t="shared" si="1"/>
        <v>ma-1-model</v>
      </c>
      <c r="F42" s="1" t="str">
        <f t="shared" si="2"/>
        <v>ma-1-model</v>
      </c>
      <c r="G42" s="1" t="s">
        <v>137</v>
      </c>
    </row>
    <row r="43" spans="2:7" x14ac:dyDescent="0.55000000000000004">
      <c r="B43" s="1" t="s">
        <v>86</v>
      </c>
      <c r="C43" s="15">
        <f t="shared" si="0"/>
        <v>25</v>
      </c>
      <c r="D43" s="1" t="str">
        <f t="shared" si="1"/>
        <v>ev-sum-uncorrelated</v>
      </c>
      <c r="F43" s="1" t="str">
        <f t="shared" si="2"/>
        <v>ev-sum-uncorrelated</v>
      </c>
      <c r="G43" s="1" t="s">
        <v>138</v>
      </c>
    </row>
    <row r="44" spans="2:7" x14ac:dyDescent="0.55000000000000004">
      <c r="B44" s="1" t="s">
        <v>87</v>
      </c>
      <c r="C44" s="15">
        <f t="shared" si="0"/>
        <v>25</v>
      </c>
      <c r="D44" s="1" t="str">
        <f t="shared" si="1"/>
        <v>ev-avg-uncorrelated</v>
      </c>
      <c r="F44" s="1" t="str">
        <f t="shared" si="2"/>
        <v>ev-avg-uncorrelated</v>
      </c>
      <c r="G44" s="1" t="s">
        <v>139</v>
      </c>
    </row>
    <row r="45" spans="2:7" x14ac:dyDescent="0.55000000000000004">
      <c r="B45" s="1" t="s">
        <v>88</v>
      </c>
      <c r="C45" s="15">
        <f t="shared" si="0"/>
        <v>19</v>
      </c>
      <c r="D45" s="1" t="str">
        <f t="shared" si="1"/>
        <v>ev-ma-1-model</v>
      </c>
      <c r="F45" s="1" t="str">
        <f t="shared" si="2"/>
        <v>ev-ma-1-model</v>
      </c>
      <c r="G45" s="1" t="s">
        <v>140</v>
      </c>
    </row>
    <row r="46" spans="2:7" x14ac:dyDescent="0.55000000000000004">
      <c r="B46" s="1" t="s">
        <v>89</v>
      </c>
      <c r="C46" s="15">
        <f t="shared" si="0"/>
        <v>25</v>
      </c>
      <c r="D46" s="1" t="str">
        <f t="shared" si="1"/>
        <v>auto-cov-ma-1-model</v>
      </c>
      <c r="F46" s="1" t="str">
        <f t="shared" si="2"/>
        <v>auto-cov-ma-1-model</v>
      </c>
      <c r="G46" s="1" t="s">
        <v>141</v>
      </c>
    </row>
    <row r="47" spans="2:7" x14ac:dyDescent="0.55000000000000004">
      <c r="B47" s="1" t="s">
        <v>90</v>
      </c>
      <c r="C47" s="15">
        <f t="shared" si="0"/>
        <v>25</v>
      </c>
      <c r="D47" s="1" t="str">
        <f t="shared" si="1"/>
        <v>auto-cor-ma-1-model</v>
      </c>
      <c r="F47" s="1" t="str">
        <f t="shared" si="2"/>
        <v>auto-cor-ma-1-model</v>
      </c>
      <c r="G47" s="1" t="s">
        <v>142</v>
      </c>
    </row>
    <row r="48" spans="2:7" x14ac:dyDescent="0.55000000000000004">
      <c r="B48" s="1" t="s">
        <v>91</v>
      </c>
      <c r="C48" s="15">
        <f t="shared" si="0"/>
        <v>24</v>
      </c>
      <c r="D48" s="1" t="str">
        <f t="shared" si="1"/>
        <v>var-sum-ma-1-model</v>
      </c>
      <c r="F48" s="1" t="str">
        <f t="shared" si="2"/>
        <v>var-sum-ma-1-model</v>
      </c>
      <c r="G48" s="1" t="s">
        <v>143</v>
      </c>
    </row>
    <row r="49" spans="2:7" x14ac:dyDescent="0.55000000000000004">
      <c r="B49" s="1" t="s">
        <v>92</v>
      </c>
      <c r="C49" s="15">
        <f t="shared" si="0"/>
        <v>19</v>
      </c>
      <c r="D49" s="1" t="str">
        <f t="shared" si="1"/>
        <v>ess-criterion</v>
      </c>
      <c r="F49" s="1" t="str">
        <f t="shared" si="2"/>
        <v>ess-criterion</v>
      </c>
      <c r="G49" s="1" t="s">
        <v>144</v>
      </c>
    </row>
    <row r="50" spans="2:7" x14ac:dyDescent="0.55000000000000004">
      <c r="B50" s="1" t="s">
        <v>93</v>
      </c>
      <c r="C50" s="15">
        <f t="shared" si="0"/>
        <v>20</v>
      </c>
      <c r="D50" s="1" t="str">
        <f t="shared" si="1"/>
        <v>ess-definition</v>
      </c>
      <c r="F50" s="1" t="str">
        <f t="shared" si="2"/>
        <v>ess-definition</v>
      </c>
      <c r="G50" s="1" t="s">
        <v>145</v>
      </c>
    </row>
    <row r="51" spans="2:7" x14ac:dyDescent="0.55000000000000004">
      <c r="B51" s="1" t="s">
        <v>94</v>
      </c>
      <c r="C51" s="15">
        <f t="shared" si="0"/>
        <v>26</v>
      </c>
      <c r="D51" s="1" t="str">
        <f t="shared" si="1"/>
        <v>ess-limit-ma-1-model</v>
      </c>
      <c r="F51" s="1" t="str">
        <f t="shared" si="2"/>
        <v>ess-limit-ma-1-model</v>
      </c>
      <c r="G51" s="1" t="s">
        <v>146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1021-2470-4A18-9715-81111F931C52}">
  <dimension ref="A1:E2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578125" style="15" customWidth="1"/>
    <col min="4" max="4" width="21.578125" style="1" customWidth="1"/>
    <col min="5" max="5" width="9.578125" style="15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173</v>
      </c>
      <c r="C1" s="13" t="s">
        <v>174</v>
      </c>
      <c r="D1" s="2" t="s">
        <v>152</v>
      </c>
      <c r="E1" s="13" t="s">
        <v>151</v>
      </c>
    </row>
    <row r="2" spans="1:5" s="3" customFormat="1" ht="11.7" hidden="1" x14ac:dyDescent="0.55000000000000004">
      <c r="A2" s="3" t="s">
        <v>30</v>
      </c>
      <c r="B2" s="14"/>
      <c r="C2" s="14"/>
      <c r="E2" s="14"/>
    </row>
    <row r="3" spans="1:5" s="3" customFormat="1" ht="11.7" hidden="1" x14ac:dyDescent="0.55000000000000004">
      <c r="A3" s="3" t="s">
        <v>31</v>
      </c>
      <c r="B3" s="14"/>
      <c r="C3" s="14"/>
      <c r="E3" s="14"/>
    </row>
    <row r="4" spans="1:5" s="3" customFormat="1" ht="11.7" hidden="1" x14ac:dyDescent="0.55000000000000004">
      <c r="A4" s="3" t="s">
        <v>32</v>
      </c>
      <c r="B4" s="14"/>
      <c r="C4" s="14"/>
      <c r="E4" s="14"/>
    </row>
    <row r="5" spans="1:5" s="3" customFormat="1" ht="45" hidden="1" customHeight="1" x14ac:dyDescent="0.55000000000000004">
      <c r="A5" s="3" t="s">
        <v>33</v>
      </c>
      <c r="B5" s="14"/>
      <c r="C5" s="14"/>
      <c r="E5" s="14"/>
    </row>
    <row r="6" spans="1:5" x14ac:dyDescent="0.55000000000000004">
      <c r="B6" s="15">
        <v>1</v>
      </c>
      <c r="C6" s="15">
        <v>1</v>
      </c>
      <c r="D6" s="1" t="s">
        <v>153</v>
      </c>
    </row>
    <row r="7" spans="1:5" x14ac:dyDescent="0.55000000000000004">
      <c r="B7" s="15">
        <v>2</v>
      </c>
      <c r="D7" s="1" t="s">
        <v>154</v>
      </c>
    </row>
    <row r="8" spans="1:5" x14ac:dyDescent="0.55000000000000004">
      <c r="B8" s="15">
        <v>3</v>
      </c>
      <c r="D8" s="1" t="s">
        <v>155</v>
      </c>
    </row>
    <row r="9" spans="1:5" x14ac:dyDescent="0.55000000000000004">
      <c r="B9" s="15">
        <v>4</v>
      </c>
      <c r="D9" s="1" t="s">
        <v>166</v>
      </c>
      <c r="E9" s="15">
        <v>108</v>
      </c>
    </row>
    <row r="10" spans="1:5" x14ac:dyDescent="0.55000000000000004">
      <c r="B10" s="15">
        <v>5</v>
      </c>
      <c r="D10" s="1" t="s">
        <v>156</v>
      </c>
    </row>
    <row r="11" spans="1:5" x14ac:dyDescent="0.55000000000000004">
      <c r="B11" s="15">
        <v>6</v>
      </c>
      <c r="D11" s="1" t="s">
        <v>157</v>
      </c>
    </row>
    <row r="12" spans="1:5" x14ac:dyDescent="0.55000000000000004">
      <c r="B12" s="15">
        <v>7</v>
      </c>
      <c r="D12" s="1" t="s">
        <v>167</v>
      </c>
      <c r="E12" s="15">
        <v>115</v>
      </c>
    </row>
    <row r="13" spans="1:5" x14ac:dyDescent="0.55000000000000004">
      <c r="B13" s="15">
        <v>8</v>
      </c>
      <c r="D13" s="1" t="s">
        <v>164</v>
      </c>
    </row>
    <row r="14" spans="1:5" x14ac:dyDescent="0.55000000000000004">
      <c r="B14" s="15">
        <v>9</v>
      </c>
      <c r="D14" s="1" t="s">
        <v>165</v>
      </c>
      <c r="E14" s="15">
        <v>55</v>
      </c>
    </row>
    <row r="15" spans="1:5" x14ac:dyDescent="0.55000000000000004">
      <c r="B15" s="15">
        <v>10</v>
      </c>
      <c r="D15" s="1" t="s">
        <v>158</v>
      </c>
    </row>
    <row r="16" spans="1:5" x14ac:dyDescent="0.55000000000000004">
      <c r="B16" s="15">
        <v>11</v>
      </c>
      <c r="D16" s="1" t="s">
        <v>159</v>
      </c>
    </row>
    <row r="17" spans="2:5" x14ac:dyDescent="0.55000000000000004">
      <c r="B17" s="15">
        <v>12</v>
      </c>
      <c r="D17" s="1" t="s">
        <v>160</v>
      </c>
    </row>
    <row r="18" spans="2:5" x14ac:dyDescent="0.55000000000000004">
      <c r="B18" s="15">
        <v>13</v>
      </c>
      <c r="D18" s="1" t="s">
        <v>161</v>
      </c>
    </row>
    <row r="19" spans="2:5" x14ac:dyDescent="0.55000000000000004">
      <c r="B19" s="15">
        <v>14</v>
      </c>
      <c r="D19" s="1" t="s">
        <v>168</v>
      </c>
      <c r="E19" s="15">
        <v>88</v>
      </c>
    </row>
    <row r="20" spans="2:5" x14ac:dyDescent="0.55000000000000004">
      <c r="B20" s="15">
        <v>15</v>
      </c>
      <c r="D20" s="1" t="s">
        <v>169</v>
      </c>
      <c r="E20" s="15">
        <v>110</v>
      </c>
    </row>
    <row r="21" spans="2:5" x14ac:dyDescent="0.55000000000000004">
      <c r="B21" s="15">
        <v>16</v>
      </c>
      <c r="D21" s="1" t="s">
        <v>170</v>
      </c>
      <c r="E21" s="15">
        <v>117</v>
      </c>
    </row>
    <row r="22" spans="2:5" x14ac:dyDescent="0.55000000000000004">
      <c r="B22" s="15">
        <v>17</v>
      </c>
      <c r="D22" s="1" t="s">
        <v>171</v>
      </c>
      <c r="E22" s="15">
        <v>92</v>
      </c>
    </row>
    <row r="23" spans="2:5" x14ac:dyDescent="0.55000000000000004">
      <c r="B23" s="15">
        <v>18</v>
      </c>
      <c r="D23" s="1" t="s">
        <v>162</v>
      </c>
    </row>
    <row r="24" spans="2:5" x14ac:dyDescent="0.55000000000000004">
      <c r="B24" s="15">
        <v>19</v>
      </c>
      <c r="D24" s="1" t="s">
        <v>172</v>
      </c>
      <c r="E24" s="15">
        <v>93</v>
      </c>
    </row>
    <row r="25" spans="2:5" x14ac:dyDescent="0.55000000000000004">
      <c r="B25" s="15">
        <v>20</v>
      </c>
      <c r="D25" s="1" t="s">
        <v>172</v>
      </c>
      <c r="E25" s="15">
        <v>111</v>
      </c>
    </row>
    <row r="26" spans="2:5" x14ac:dyDescent="0.55000000000000004">
      <c r="B26" s="15">
        <v>21</v>
      </c>
      <c r="C26" s="15">
        <v>2</v>
      </c>
      <c r="D26" s="1" t="s">
        <v>163</v>
      </c>
    </row>
  </sheetData>
  <sortState xmlns:xlrd2="http://schemas.microsoft.com/office/spreadsheetml/2017/richdata2" ref="B6:E26">
    <sortCondition ref="B6:B26"/>
    <sortCondition ref="D6:D26"/>
  </sortState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index</vt:lpstr>
      <vt:lpstr>eq_labels_1</vt:lpstr>
      <vt:lpstr>foot_1</vt:lpstr>
      <vt:lpstr>templates</vt:lpstr>
      <vt:lpstr>eq_labels_1!Print_Titles</vt:lpstr>
      <vt:lpstr>foot_1!Print_Titles</vt:lpstr>
      <vt:lpstr>index!Print_Titles</vt:lpstr>
      <vt:lpstr>templates!Print_Titles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2025-06-19T10:26:27Z</dcterms:modified>
</cp:coreProperties>
</file>